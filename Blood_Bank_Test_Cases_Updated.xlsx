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  <sheet name="Bug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<sst xmlns="http://schemas.openxmlformats.org/spreadsheetml/2006/main" count="435" uniqueCount="270">
  <si>
    <t xml:space="preserve">Test Case ID</t>
  </si>
  <si>
    <t xml:space="preserve">Module</t>
  </si>
  <si>
    <t xml:space="preserve">Test Scenario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</si>
  <si>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</si>
  <si>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</si>
  <si>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</si>
  <si>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</si>
  <si>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Testing Technique</t>
  </si>
  <si>
    <t xml:space="preserve">TC01</t>
  </si>
  <si>
    <t xml:space="preserve">Donor Management</t>
  </si>
  <si>
    <t xml:space="preserve">Register donor with all valid details</t>
  </si>
  <si>
    <t xml:space="preserve">Ravi Kumar, 25, Male, O+, 65 kg, Hb 14, 9876543210</t>
  </si>
  <si>
    <t xml:space="preserve">Donor saved in data.json; success message with new donor ID (HTTP 201)</t>
  </si>
  <si>
    <t xml:space="preserve">HTTP 201 - Donor registered with ID 1</t>
  </si>
  <si>
    <t xml:space="preserve">Pass</t>
  </si>
  <si>
    <t xml:space="preserve">Functional Testing</t>
  </si>
  <si>
    <t xml:space="preserve">TC02</t>
  </si>
  <si>
    <t xml:space="preserve">Register donor with empty name</t>
  </si>
  <si>
    <t xml:space="preserve">Name = (blank), other fields valid, phone 9000000001</t>
  </si>
  <si>
    <t xml:space="preserve">Rejected with message 'Name is required.' (HTTP 400)</t>
  </si>
  <si>
    <t xml:space="preserve">HTTP 400 - Name is required.</t>
  </si>
  <si>
    <t xml:space="preserve">Validation Testing</t>
  </si>
  <si>
    <t xml:space="preserve">TC03</t>
  </si>
  <si>
    <t xml:space="preserve">Age just below minimum</t>
  </si>
  <si>
    <t xml:space="preserve">Age = 17, phone 9000000002</t>
  </si>
  <si>
    <t xml:space="preserve">Rejected: 'Age must be between 18 and 65.' (HTTP 400)</t>
  </si>
  <si>
    <t xml:space="preserve">HTTP 400 - Age must be between 18 and 65.</t>
  </si>
  <si>
    <t xml:space="preserve">Boundary Value Analysis</t>
  </si>
  <si>
    <t xml:space="preserve">TC04</t>
  </si>
  <si>
    <t xml:space="preserve">Age exactly at minimum boundary</t>
  </si>
  <si>
    <t xml:space="preserve">Anita Rao, Age = 18, Female, A+, 65 kg, Hb 14, 9000000003</t>
  </si>
  <si>
    <t xml:space="preserve">Accepted and saved (HTTP 201)</t>
  </si>
  <si>
    <t xml:space="preserve">HTTP 201 - Donor registered with ID 2</t>
  </si>
  <si>
    <t xml:space="preserve">TC05</t>
  </si>
  <si>
    <t xml:space="preserve">Age just above maximum</t>
  </si>
  <si>
    <t xml:space="preserve">Age = 66, phone 9000000004</t>
  </si>
  <si>
    <t xml:space="preserve">TC06</t>
  </si>
  <si>
    <t xml:space="preserve">Weight below minimum</t>
  </si>
  <si>
    <t xml:space="preserve">Weight = 49 kg, phone 9000000005</t>
  </si>
  <si>
    <t xml:space="preserve">Rejected: 'Weight must be at least 50 kg.' (HTTP 400)</t>
  </si>
  <si>
    <t xml:space="preserve">HTTP 400 - Weight must be at least 50 kg.</t>
  </si>
  <si>
    <t xml:space="preserve">TC07</t>
  </si>
  <si>
    <t xml:space="preserve">Hemoglobin below allowed range</t>
  </si>
  <si>
    <t xml:space="preserve">Hemoglobin = 12.4 g/dL, phone 9000000006</t>
  </si>
  <si>
    <t xml:space="preserve">Rejected: 'Hemoglobin must be between 12.5 and 20.0 g/dL.' (HTTP 400)</t>
  </si>
  <si>
    <t xml:space="preserve">HTTP 400 - Hemoglobin must be between 12.5 and 20.0 g/dL.</t>
  </si>
  <si>
    <t xml:space="preserve">TC08</t>
  </si>
  <si>
    <t xml:space="preserve">Phone number with fewer than 10 digits</t>
  </si>
  <si>
    <t xml:space="preserve">Phone = 987654321 (9 digits)</t>
  </si>
  <si>
    <t xml:space="preserve">Rejected: 'Phone must be 10 digits and start with 6, 7, 8 or 9.' (HTTP 400)</t>
  </si>
  <si>
    <t xml:space="preserve">HTTP 400 - Phone must be 10 digits and start with 6, 7, 8 or 9.</t>
  </si>
  <si>
    <t xml:space="preserve">TC09</t>
  </si>
  <si>
    <t xml:space="preserve">Register donor with duplicate phone number</t>
  </si>
  <si>
    <t xml:space="preserve">Phone = 9876543210 (already used by TC01)</t>
  </si>
  <si>
    <t xml:space="preserve">Rejected: 'A donor with this phone number already exists.' (HTTP 400)</t>
  </si>
  <si>
    <t xml:space="preserve">HTTP 400 - A donor with this phone number already exists.</t>
  </si>
  <si>
    <t xml:space="preserve">TC10</t>
  </si>
  <si>
    <t xml:space="preserve">Invalid email format</t>
  </si>
  <si>
    <t xml:space="preserve">Email = ravi@com, phone 9000000007</t>
  </si>
  <si>
    <t xml:space="preserve">Rejected: 'Email format is invalid.' (HTTP 400)</t>
  </si>
  <si>
    <t xml:space="preserve">HTTP 400 - Email format is invalid.</t>
  </si>
  <si>
    <t xml:space="preserve">TC11</t>
  </si>
  <si>
    <t xml:space="preserve">Search donors by blood group</t>
  </si>
  <si>
    <t xml:space="preserve">Filter blood group = O+ (donors in DB: O+ and A+)</t>
  </si>
  <si>
    <t xml:space="preserve">Only O+ donors are listed (1 record)</t>
  </si>
  <si>
    <t xml:space="preserve">HTTP 200 - 1 donor(s) returned, all O+</t>
  </si>
  <si>
    <t xml:space="preserve">TC12</t>
  </si>
  <si>
    <t xml:space="preserve">Blood Inventory</t>
  </si>
  <si>
    <t xml:space="preserve">Record donation for a registered donor</t>
  </si>
  <si>
    <t xml:space="preserve">Donor ID = 1, Volume = 350 ml</t>
  </si>
  <si>
    <t xml:space="preserve">Unit added as Available with expiry = collection date + 35 days; donor's donation count becomes 1 (HTTP 201)</t>
  </si>
  <si>
    <t xml:space="preserve">HTTP 201 - Unit #1 Available, expires 2026-12-02; donor donation_count = 1</t>
  </si>
  <si>
    <t xml:space="preserve">Integration Testing</t>
  </si>
  <si>
    <t xml:space="preserve">TC13</t>
  </si>
  <si>
    <t xml:space="preserve">Stock summary updates after a donation</t>
  </si>
  <si>
    <t xml:space="preserve">View stock summary after TC12</t>
  </si>
  <si>
    <t xml:space="preserve">O+ stock shows 1 unit</t>
  </si>
  <si>
    <t xml:space="preserve">HTTP 200 - O+ stock = 1</t>
  </si>
  <si>
    <t xml:space="preserve">TC14</t>
  </si>
  <si>
    <t xml:space="preserve">Record donation for non-existent donor</t>
  </si>
  <si>
    <t xml:space="preserve">Donor ID = 999</t>
  </si>
  <si>
    <t xml:space="preserve">Rejected: 'Donor not found' (HTTP 404)</t>
  </si>
  <si>
    <t xml:space="preserve">HTTP 404 - Donor not found</t>
  </si>
  <si>
    <t xml:space="preserve">TC15</t>
  </si>
  <si>
    <t xml:space="preserve">Same donor donates again within 90 days</t>
  </si>
  <si>
    <t xml:space="preserve">Donor ID = 1 (donated today), Volume = 350 ml</t>
  </si>
  <si>
    <t xml:space="preserve">Rejected: message shows next eligible date (HTTP 409)</t>
  </si>
  <si>
    <t xml:space="preserve">HTTP 409 - Last donated on 2026-10-28. Eligible again on 2027-01-26.</t>
  </si>
  <si>
    <t xml:space="preserve">TC16</t>
  </si>
  <si>
    <t xml:space="preserve">Donation volume below minimum</t>
  </si>
  <si>
    <t xml:space="preserve">Donor ID = 2, Volume = 299 ml</t>
  </si>
  <si>
    <t xml:space="preserve">Rejected: 'Volume must be between 300 and 500 ml.' (HTTP 400)</t>
  </si>
  <si>
    <t xml:space="preserve">HTTP 400 - Volume must be between 300 and 500 ml.</t>
  </si>
  <si>
    <t xml:space="preserve">TC17</t>
  </si>
  <si>
    <t xml:space="preserve">Issue an available unit to a hospital</t>
  </si>
  <si>
    <t xml:space="preserve">Unit ID = 1, Hospital = City Hospital</t>
  </si>
  <si>
    <t xml:space="preserve">Unit status changes to Issued and hospital name is saved (HTTP 200)</t>
  </si>
  <si>
    <t xml:space="preserve">HTTP 200 - Unit #1 status Issued, issued to City Hospital</t>
  </si>
  <si>
    <t xml:space="preserve">TC18</t>
  </si>
  <si>
    <t xml:space="preserve">Issue a unit that is already issued</t>
  </si>
  <si>
    <t xml:space="preserve">Rejected: 'This unit is already issued.' (HTTP 409)</t>
  </si>
  <si>
    <t xml:space="preserve">HTTP 409 - This unit is already issued.</t>
  </si>
  <si>
    <t xml:space="preserve">TC19</t>
  </si>
  <si>
    <t xml:space="preserve">Issue a unit with empty hospital name</t>
  </si>
  <si>
    <t xml:space="preserve">Unit ID = 2 (Available), Hospital = (blank)</t>
  </si>
  <si>
    <t xml:space="preserve">Rejected: 'Hospital name is required (min 3 characters).' (HTTP 400)</t>
  </si>
  <si>
    <t xml:space="preserve">HTTP 400 - Hospital name is required (min 3 characters).</t>
  </si>
  <si>
    <t xml:space="preserve">TC20</t>
  </si>
  <si>
    <t xml:space="preserve">Delete a donor whose blood unit is still in stock</t>
  </si>
  <si>
    <t xml:space="preserve">Donor ID = 2 (has Available unit #2)</t>
  </si>
  <si>
    <t xml:space="preserve">Rejected: 'Cannot delete: donor has blood units still in stock.' (HTTP 409)</t>
  </si>
  <si>
    <t xml:space="preserve">HTTP 409 - Cannot delete: donor has blood units still in stock.</t>
  </si>
  <si>
    <t xml:space="preserve">TC21</t>
  </si>
  <si>
    <t xml:space="preserve">Age exactly at maximum boundary</t>
  </si>
  <si>
    <t xml:space="preserve">Age = 65, valid other fields</t>
  </si>
  <si>
    <t xml:space="preserve">HTTP 201 - Donor registered</t>
  </si>
  <si>
    <t xml:space="preserve">TC22</t>
  </si>
  <si>
    <t xml:space="preserve">Weight exactly at minimum boundary</t>
  </si>
  <si>
    <t xml:space="preserve">Weight = 50 kg</t>
  </si>
  <si>
    <t xml:space="preserve">TC23</t>
  </si>
  <si>
    <t xml:space="preserve">Hemoglobin exactly at minimum boundary</t>
  </si>
  <si>
    <t xml:space="preserve">Hemoglobin = 12.5 g/dL</t>
  </si>
  <si>
    <t xml:space="preserve">TC24</t>
  </si>
  <si>
    <t xml:space="preserve">Hemoglobin just above maximum</t>
  </si>
  <si>
    <t xml:space="preserve">Hemoglobin = 20.1 g/dL</t>
  </si>
  <si>
    <t xml:space="preserve">TC25</t>
  </si>
  <si>
    <t xml:space="preserve">Phone starting with invalid digit</t>
  </si>
  <si>
    <t xml:space="preserve">Phone = 5876543210</t>
  </si>
  <si>
    <t xml:space="preserve">Equivalence Partitioning</t>
  </si>
  <si>
    <t xml:space="preserve">TC26</t>
  </si>
  <si>
    <t xml:space="preserve">Phone number with more than 10 digits</t>
  </si>
  <si>
    <t xml:space="preserve">Phone = 98765432101 (11 digits)</t>
  </si>
  <si>
    <t xml:space="preserve">TC27</t>
  </si>
  <si>
    <t xml:space="preserve">Name containing a digit</t>
  </si>
  <si>
    <t xml:space="preserve">Name = R2</t>
  </si>
  <si>
    <t xml:space="preserve">Rejected: 'Name must be 2-50 letters (no digits).' (HTTP 400)</t>
  </si>
  <si>
    <t xml:space="preserve">HTTP 400 - Name must be 2-50 letters (no digits).</t>
  </si>
  <si>
    <t xml:space="preserve">TC28</t>
  </si>
  <si>
    <t xml:space="preserve">Hemoglobin given as 'nan' (not a real number)</t>
  </si>
  <si>
    <t xml:space="preserve">Hemoglobin = "nan", other fields valid</t>
  </si>
  <si>
    <t xml:space="preserve">HTTP 201 - Donor registered with hemoglobin = NaN (range check bypassed; invalid NaN written to data.json). See BUG-01</t>
  </si>
  <si>
    <t xml:space="preserve">Fail</t>
  </si>
  <si>
    <t xml:space="preserve">TC29</t>
  </si>
  <si>
    <t xml:space="preserve">Weight given as 'nan' (not a real number)</t>
  </si>
  <si>
    <t xml:space="preserve">Weight = "nan", other fields valid</t>
  </si>
  <si>
    <t xml:space="preserve">Rejected with a weight validation message (HTTP 400)</t>
  </si>
  <si>
    <t xml:space="preserve">HTTP 201 - Donor registered; weight check bypassed. See BUG-01</t>
  </si>
  <si>
    <t xml:space="preserve">TC30</t>
  </si>
  <si>
    <t xml:space="preserve">Age given as a decimal number</t>
  </si>
  <si>
    <t xml:space="preserve">Age = 18.9</t>
  </si>
  <si>
    <t xml:space="preserve">Rejected: 'Age must be a whole number.' (HTTP 400)</t>
  </si>
  <si>
    <t xml:space="preserve">HTTP 201 - Donor saved with age 18 (decimal silently truncated). See BUG-02</t>
  </si>
  <si>
    <t xml:space="preserve">TC31</t>
  </si>
  <si>
    <t xml:space="preserve">Name made of letter followed by punctuation only</t>
  </si>
  <si>
    <t xml:space="preserve">Name = A..</t>
  </si>
  <si>
    <t xml:space="preserve">HTTP 201 - Donor saved with name 'A..'. See BUG-03</t>
  </si>
  <si>
    <t xml:space="preserve">TC32</t>
  </si>
  <si>
    <t xml:space="preserve">Phone containing non-ASCII digits</t>
  </si>
  <si>
    <t xml:space="preserve">Phone = 9 followed by 9 Arabic-Indic digits (U+0663)</t>
  </si>
  <si>
    <t xml:space="preserve">HTTP 201 - Donor saved with non-ASCII digits in phone. See BUG-04</t>
  </si>
  <si>
    <t xml:space="preserve">TC33</t>
  </si>
  <si>
    <t xml:space="preserve">Rename a donor who already has a blood unit</t>
  </si>
  <si>
    <t xml:space="preserve">Donor with unit #1 (donor_name 'Old Name'); PUT name = 'New Name'</t>
  </si>
  <si>
    <t xml:space="preserve">Donor updated (HTTP 200) and the donor's blood units show 'New Name'</t>
  </si>
  <si>
    <t xml:space="preserve">HTTP 200 - Donor renamed, but unit #1 still shows donor_name 'Old Name'. See BUG-05</t>
  </si>
  <si>
    <t xml:space="preserve">TC34</t>
  </si>
  <si>
    <t xml:space="preserve">Delete a donor whose unit was already issued</t>
  </si>
  <si>
    <t xml:space="preserve">Donor with unit #1 status Issued; DELETE donor</t>
  </si>
  <si>
    <t xml:space="preserve">Rejected (HTTP 409) or donation history preserved</t>
  </si>
  <si>
    <t xml:space="preserve">HTTP 200 - Donor deleted; unit #1 still references the deleted donor ID. See BUG-06</t>
  </si>
  <si>
    <t xml:space="preserve">TC35</t>
  </si>
  <si>
    <t xml:space="preserve">Check eligibility of a donor who donated today</t>
  </si>
  <si>
    <t xml:space="preserve">GET /eligibility for donor who donated today</t>
  </si>
  <si>
    <t xml:space="preserve">eligible = false with next eligible date (HTTP 200)</t>
  </si>
  <si>
    <t xml:space="preserve">HTTP 200 - eligible false, 'Last donated on 2026-10-28. Eligible again on 2027-01-26.'</t>
  </si>
  <si>
    <t xml:space="preserve">TC36</t>
  </si>
  <si>
    <t xml:space="preserve">Check eligibility of a non-existent donor</t>
  </si>
  <si>
    <t xml:space="preserve">TC37</t>
  </si>
  <si>
    <t xml:space="preserve">Donation volume exactly at minimum boundary</t>
  </si>
  <si>
    <t xml:space="preserve">Valid donor, Volume = 300 ml</t>
  </si>
  <si>
    <t xml:space="preserve">Unit added as Available (HTTP 201)</t>
  </si>
  <si>
    <t xml:space="preserve">HTTP 201 - Unit added, Available</t>
  </si>
  <si>
    <t xml:space="preserve">TC38</t>
  </si>
  <si>
    <t xml:space="preserve">Donation volume just above maximum</t>
  </si>
  <si>
    <t xml:space="preserve">Valid donor, Volume = 501 ml</t>
  </si>
  <si>
    <t xml:space="preserve">TC39</t>
  </si>
  <si>
    <t xml:space="preserve">Hospital name just below minimum length</t>
  </si>
  <si>
    <t xml:space="preserve">Unit available, Hospital = AB (2 chars)</t>
  </si>
  <si>
    <t xml:space="preserve">TC40</t>
  </si>
  <si>
    <t xml:space="preserve">Issue a unit that does not exist</t>
  </si>
  <si>
    <t xml:space="preserve">Unit ID = 999, Hospital = City Hospital</t>
  </si>
  <si>
    <t xml:space="preserve">Rejected: 'Blood unit not found' (HTTP 404)</t>
  </si>
  <si>
    <t xml:space="preserve">HTTP 404 - Blood unit not found</t>
  </si>
  <si>
    <t xml:space="preserve">TC41</t>
  </si>
  <si>
    <t xml:space="preserve">Issue an expired unit</t>
  </si>
  <si>
    <t xml:space="preserve">Unit whose expiry_date in data.json was set to yesterday</t>
  </si>
  <si>
    <t xml:space="preserve">Rejected: 'This unit has expired and cannot be issued.' (HTTP 409)</t>
  </si>
  <si>
    <t xml:space="preserve">HTTP 409 - This unit has expired and cannot be issued.</t>
  </si>
  <si>
    <t xml:space="preserve">TC42</t>
  </si>
  <si>
    <t xml:space="preserve">Application behaviour when data.json is corrupted</t>
  </si>
  <si>
    <t xml:space="preserve">data.json content replaced by '{broken'; GET /api/donors</t>
  </si>
  <si>
    <t xml:space="preserve">Clear error message returned without crashing</t>
  </si>
  <si>
    <t xml:space="preserve">HTTP 500 - unhandled JSONDecodeError (server error). See BUG-07</t>
  </si>
  <si>
    <t xml:space="preserve">Blood Bank Management System - Test Summary</t>
  </si>
  <si>
    <t xml:space="preserve">Total test cases</t>
  </si>
  <si>
    <t xml:space="preserve">Passed</t>
  </si>
  <si>
    <t xml:space="preserve">Failed</t>
  </si>
  <si>
    <t xml:space="preserve">Pass percentage</t>
  </si>
  <si>
    <t xml:space="preserve">Donor Management cases</t>
  </si>
  <si>
    <t xml:space="preserve">Blood Inventory cases</t>
  </si>
  <si>
    <t xml:space="preserve">Note</t>
  </si>
  <si>
    <t xml:space="preserve">TC01-TC20: Actual Result and Status recorded against app.py on 2026-10-28 and re-verified. TC21-TC42: added and executed against the same app.py on 2026-10-28 using the Flask test client. Failed cases are logged on the Bug Log sheet. Re-run all cases yourself before submission, and update Actual Result/Status after each bug fix.</t>
  </si>
  <si>
    <t xml:space="preserve">Bug ID</t>
  </si>
  <si>
    <t xml:space="preserve">Summary</t>
  </si>
  <si>
    <t xml:space="preserve">Linked Test Case</t>
  </si>
  <si>
    <t xml:space="preserve">Steps to Reproduce</t>
  </si>
  <si>
    <t xml:space="preserve">Expected</t>
  </si>
  <si>
    <t xml:space="preserve">Actual</t>
  </si>
  <si>
    <t xml:space="preserve">Severity</t>
  </si>
  <si>
    <t xml:space="preserve">Priority</t>
  </si>
  <si>
    <t xml:space="preserve">Resolution</t>
  </si>
  <si>
    <t xml:space="preserve">BUG-01</t>
  </si>
  <si>
    <t xml:space="preserve">Hemoglobin/weight 'nan' bypasses range validation</t>
  </si>
  <si>
    <t xml:space="preserve">TC28, TC29</t>
  </si>
  <si>
    <t xml:space="preserve">POST /api/donors with hemoglobin="nan" (or weight="nan"), other fields valid</t>
  </si>
  <si>
    <t xml:space="preserve">HTTP 400 validation error</t>
  </si>
  <si>
    <t xml:space="preserve">HTTP 201; NaN saved into data.json (invalid JSON)</t>
  </si>
  <si>
    <t xml:space="preserve">Major</t>
  </si>
  <si>
    <t xml:space="preserve">High</t>
  </si>
  <si>
    <t xml:space="preserve">Open</t>
  </si>
  <si>
    <t xml:space="preserve">Pending fix: reject non-finite numbers (math.isfinite)</t>
  </si>
  <si>
    <t xml:space="preserve">BUG-02</t>
  </si>
  <si>
    <t xml:space="preserve">Decimal age accepted and silently truncated</t>
  </si>
  <si>
    <t xml:space="preserve">POST /api/donors with age=18.9</t>
  </si>
  <si>
    <t xml:space="preserve">HTTP 400 'Age must be a whole number.'</t>
  </si>
  <si>
    <t xml:space="preserve">HTTP 201; saved as 18</t>
  </si>
  <si>
    <t xml:space="preserve">Minor</t>
  </si>
  <si>
    <t xml:space="preserve">Medium</t>
  </si>
  <si>
    <t xml:space="preserve">Pending fix</t>
  </si>
  <si>
    <t xml:space="preserve">BUG-03</t>
  </si>
  <si>
    <t xml:space="preserve">Name of letter plus punctuation only accepted</t>
  </si>
  <si>
    <t xml:space="preserve">POST /api/donors with name="A.."</t>
  </si>
  <si>
    <t xml:space="preserve">HTTP 400 name validation error</t>
  </si>
  <si>
    <t xml:space="preserve">HTTP 201; name 'A..' saved</t>
  </si>
  <si>
    <t xml:space="preserve">Low</t>
  </si>
  <si>
    <t xml:space="preserve">BUG-04</t>
  </si>
  <si>
    <t xml:space="preserve">Phone accepts non-ASCII digits</t>
  </si>
  <si>
    <t xml:space="preserve">POST /api/donors with phone = '9' + nine U+0663 digits</t>
  </si>
  <si>
    <t xml:space="preserve">HTTP 400 phone validation error</t>
  </si>
  <si>
    <t xml:space="preserve">HTTP 201; saved</t>
  </si>
  <si>
    <t xml:space="preserve">Pending fix: use [0-9] or re.ASCII</t>
  </si>
  <si>
    <t xml:space="preserve">BUG-05</t>
  </si>
  <si>
    <t xml:space="preserve">Donor rename not reflected in existing blood units</t>
  </si>
  <si>
    <t xml:space="preserve">1) Register donor 'Old Name'. 2) Record donation. 3) PUT donor name 'New Name'. 4) GET /api/inventory</t>
  </si>
  <si>
    <t xml:space="preserve">Unit shows 'New Name'</t>
  </si>
  <si>
    <t xml:space="preserve">Unit shows 'Old Name'</t>
  </si>
  <si>
    <t xml:space="preserve">Pending fix: update donor_name in units or look it up at read time</t>
  </si>
  <si>
    <t xml:space="preserve">BUG-06</t>
  </si>
  <si>
    <t xml:space="preserve">Donor can be deleted after unit issued; unit keeps dangling donor_id</t>
  </si>
  <si>
    <t xml:space="preserve">1) Donate. 2) Issue the unit. 3) DELETE the donor. 4) GET /api/inventory</t>
  </si>
  <si>
    <t xml:space="preserve">Delete blocked or history preserved</t>
  </si>
  <si>
    <t xml:space="preserve">Donor deleted; unit references missing donor</t>
  </si>
  <si>
    <t xml:space="preserve">Pending decision/fix: block delete for donors with any units, or soft-delete</t>
  </si>
  <si>
    <t xml:space="preserve">BUG-07</t>
  </si>
  <si>
    <t xml:space="preserve">Corrupted data.json causes unhandled HTTP 500</t>
  </si>
  <si>
    <t xml:space="preserve">Replace data.json with '{broken'; GET /api/donors</t>
  </si>
  <si>
    <t xml:space="preserve">Clear error message, no crash</t>
  </si>
  <si>
    <t xml:space="preserve">HTTP 500 unhandled JSONDecodeError</t>
  </si>
  <si>
    <t xml:space="preserve">Pending fix: handle load errors; write file atomically</t>
  </si>
  <si>
    <t xml:space="preserve">Bug IDs here are placeholders. Replace them with the real JIRA keys once each bug is created in JIRA (type Bug). Update Status and Resolution after fixing and retesting.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</si>
</sst>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B71C1C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71C1C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1B5E20"/>
      </font>
      <fill>
        <patternFill>
          <bgColor rgb="FFC8E6C9"/>
        </patternFill>
      </fill>
    </dxf>
    <dxf>
      <font>
        <color rgb="FFB71C1C"/>
      </font>
      <fill>
        <patternFill>
          <bgColor rgb="FFFFCD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B71C1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34"/>
    <col collapsed="false" customWidth="true" hidden="false" outlineLevel="0" max="4" min="4" style="1" width="38"/>
    <col collapsed="false" customWidth="true" hidden="false" outlineLevel="0" max="5" min="5" style="1" width="44"/>
    <col collapsed="false" customWidth="true" hidden="false" outlineLevel="0" max="6" min="6" style="1" width="46"/>
    <col collapsed="false" customWidth="true" hidden="false" outlineLevel="0" max="7" min="7" style="1" width="10"/>
    <col collapsed="false" customWidth="true" hidden="false" outlineLevel="0" max="8" min="8" style="1" width="24"/>
  </cols>
  <sheetData>
    <row r="1" customFormat="false" ht="24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23.25" hidden="false" customHeight="true" outlineLevel="0" collapsed="false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3" t="s">
        <v>14</v>
      </c>
      <c r="H2" s="4" t="s">
        <v>15</v>
      </c>
    </row>
    <row r="3" customFormat="false" ht="23.25" hidden="false" customHeight="true" outlineLevel="0" collapsed="false">
      <c r="A3" s="3" t="s">
        <v>16</v>
      </c>
      <c r="B3" s="4" t="s">
        <v>9</v>
      </c>
      <c r="C3" s="4" t="s">
        <v>17</v>
      </c>
      <c r="D3" s="4" t="s">
        <v>18</v>
      </c>
      <c r="E3" s="4" t="s">
        <v>19</v>
      </c>
      <c r="F3" s="4" t="s">
        <v>20</v>
      </c>
      <c r="G3" s="3" t="s">
        <v>14</v>
      </c>
      <c r="H3" s="4" t="s">
        <v>21</v>
      </c>
    </row>
    <row r="4" customFormat="false" ht="23.25" hidden="false" customHeight="true" outlineLevel="0" collapsed="false">
      <c r="A4" s="3" t="s">
        <v>22</v>
      </c>
      <c r="B4" s="4" t="s">
        <v>9</v>
      </c>
      <c r="C4" s="4" t="s">
        <v>23</v>
      </c>
      <c r="D4" s="4" t="s">
        <v>24</v>
      </c>
      <c r="E4" s="4" t="s">
        <v>25</v>
      </c>
      <c r="F4" s="4" t="s">
        <v>26</v>
      </c>
      <c r="G4" s="3" t="s">
        <v>14</v>
      </c>
      <c r="H4" s="4" t="s">
        <v>27</v>
      </c>
    </row>
    <row r="5" customFormat="false" ht="23.25" hidden="false" customHeight="true" outlineLevel="0" collapsed="false">
      <c r="A5" s="3" t="s">
        <v>28</v>
      </c>
      <c r="B5" s="4" t="s">
        <v>9</v>
      </c>
      <c r="C5" s="4" t="s">
        <v>29</v>
      </c>
      <c r="D5" s="4" t="s">
        <v>30</v>
      </c>
      <c r="E5" s="4" t="s">
        <v>31</v>
      </c>
      <c r="F5" s="4" t="s">
        <v>32</v>
      </c>
      <c r="G5" s="3" t="s">
        <v>14</v>
      </c>
      <c r="H5" s="4" t="s">
        <v>27</v>
      </c>
    </row>
    <row r="6" customFormat="false" ht="23.25" hidden="false" customHeight="true" outlineLevel="0" collapsed="false">
      <c r="A6" s="3" t="s">
        <v>33</v>
      </c>
      <c r="B6" s="4" t="s">
        <v>9</v>
      </c>
      <c r="C6" s="4" t="s">
        <v>34</v>
      </c>
      <c r="D6" s="4" t="s">
        <v>35</v>
      </c>
      <c r="E6" s="4" t="s">
        <v>25</v>
      </c>
      <c r="F6" s="4" t="s">
        <v>26</v>
      </c>
      <c r="G6" s="3" t="s">
        <v>14</v>
      </c>
      <c r="H6" s="4" t="s">
        <v>27</v>
      </c>
    </row>
    <row r="7" customFormat="false" ht="15" hidden="false" customHeight="true" outlineLevel="0" collapsed="false">
      <c r="A7" s="3" t="s">
        <v>36</v>
      </c>
      <c r="B7" s="4" t="s">
        <v>9</v>
      </c>
      <c r="C7" s="4" t="s">
        <v>37</v>
      </c>
      <c r="D7" s="4" t="s">
        <v>38</v>
      </c>
      <c r="E7" s="4" t="s">
        <v>39</v>
      </c>
      <c r="F7" s="4" t="s">
        <v>40</v>
      </c>
      <c r="G7" s="3" t="s">
        <v>14</v>
      </c>
      <c r="H7" s="4" t="s">
        <v>27</v>
      </c>
    </row>
    <row r="8" customFormat="false" ht="23.25" hidden="false" customHeight="true" outlineLevel="0" collapsed="false">
      <c r="A8" s="3" t="s">
        <v>41</v>
      </c>
      <c r="B8" s="4" t="s">
        <v>9</v>
      </c>
      <c r="C8" s="4" t="s">
        <v>42</v>
      </c>
      <c r="D8" s="4" t="s">
        <v>43</v>
      </c>
      <c r="E8" s="4" t="s">
        <v>44</v>
      </c>
      <c r="F8" s="4" t="s">
        <v>45</v>
      </c>
      <c r="G8" s="3" t="s">
        <v>14</v>
      </c>
      <c r="H8" s="4" t="s">
        <v>27</v>
      </c>
    </row>
    <row r="9" customFormat="false" ht="23.25" hidden="false" customHeight="true" outlineLevel="0" collapsed="false">
      <c r="A9" s="3" t="s">
        <v>46</v>
      </c>
      <c r="B9" s="4" t="s">
        <v>9</v>
      </c>
      <c r="C9" s="4" t="s">
        <v>47</v>
      </c>
      <c r="D9" s="4" t="s">
        <v>48</v>
      </c>
      <c r="E9" s="4" t="s">
        <v>49</v>
      </c>
      <c r="F9" s="4" t="s">
        <v>50</v>
      </c>
      <c r="G9" s="3" t="s">
        <v>14</v>
      </c>
      <c r="H9" s="4" t="s">
        <v>21</v>
      </c>
    </row>
    <row r="10" customFormat="false" ht="23.25" hidden="false" customHeight="true" outlineLevel="0" collapsed="false">
      <c r="A10" s="3" t="s">
        <v>51</v>
      </c>
      <c r="B10" s="4" t="s">
        <v>9</v>
      </c>
      <c r="C10" s="4" t="s">
        <v>52</v>
      </c>
      <c r="D10" s="4" t="s">
        <v>53</v>
      </c>
      <c r="E10" s="4" t="s">
        <v>54</v>
      </c>
      <c r="F10" s="4" t="s">
        <v>55</v>
      </c>
      <c r="G10" s="3" t="s">
        <v>14</v>
      </c>
      <c r="H10" s="4" t="s">
        <v>21</v>
      </c>
    </row>
    <row r="11" customFormat="false" ht="15" hidden="false" customHeight="true" outlineLevel="0" collapsed="false">
      <c r="A11" s="3" t="s">
        <v>56</v>
      </c>
      <c r="B11" s="4" t="s">
        <v>9</v>
      </c>
      <c r="C11" s="4" t="s">
        <v>57</v>
      </c>
      <c r="D11" s="4" t="s">
        <v>58</v>
      </c>
      <c r="E11" s="4" t="s">
        <v>59</v>
      </c>
      <c r="F11" s="4" t="s">
        <v>60</v>
      </c>
      <c r="G11" s="3" t="s">
        <v>14</v>
      </c>
      <c r="H11" s="4" t="s">
        <v>21</v>
      </c>
    </row>
    <row r="12" customFormat="false" ht="23.25" hidden="false" customHeight="true" outlineLevel="0" collapsed="false">
      <c r="A12" s="3" t="s">
        <v>61</v>
      </c>
      <c r="B12" s="4" t="s">
        <v>9</v>
      </c>
      <c r="C12" s="4" t="s">
        <v>62</v>
      </c>
      <c r="D12" s="4" t="s">
        <v>63</v>
      </c>
      <c r="E12" s="4" t="s">
        <v>64</v>
      </c>
      <c r="F12" s="4" t="s">
        <v>65</v>
      </c>
      <c r="G12" s="3" t="s">
        <v>14</v>
      </c>
      <c r="H12" s="4" t="s">
        <v>15</v>
      </c>
    </row>
    <row r="13" customFormat="false" ht="34.5" hidden="false" customHeight="true" outlineLevel="0" collapsed="false">
      <c r="A13" s="3" t="s">
        <v>66</v>
      </c>
      <c r="B13" s="4" t="s">
        <v>67</v>
      </c>
      <c r="C13" s="4" t="s">
        <v>68</v>
      </c>
      <c r="D13" s="4" t="s">
        <v>69</v>
      </c>
      <c r="E13" s="4" t="s">
        <v>70</v>
      </c>
      <c r="F13" s="4" t="s">
        <v>71</v>
      </c>
      <c r="G13" s="3" t="s">
        <v>14</v>
      </c>
      <c r="H13" s="4" t="s">
        <v>72</v>
      </c>
    </row>
    <row r="14" customFormat="false" ht="15" hidden="false" customHeight="true" outlineLevel="0" collapsed="false">
      <c r="A14" s="3" t="s">
        <v>73</v>
      </c>
      <c r="B14" s="4" t="s">
        <v>67</v>
      </c>
      <c r="C14" s="4" t="s">
        <v>74</v>
      </c>
      <c r="D14" s="4" t="s">
        <v>75</v>
      </c>
      <c r="E14" s="4" t="s">
        <v>76</v>
      </c>
      <c r="F14" s="4" t="s">
        <v>77</v>
      </c>
      <c r="G14" s="3" t="s">
        <v>14</v>
      </c>
      <c r="H14" s="4" t="s">
        <v>72</v>
      </c>
    </row>
    <row r="15" customFormat="false" ht="15" hidden="false" customHeight="true" outlineLevel="0" collapsed="false">
      <c r="A15" s="3" t="s">
        <v>78</v>
      </c>
      <c r="B15" s="4" t="s">
        <v>67</v>
      </c>
      <c r="C15" s="4" t="s">
        <v>79</v>
      </c>
      <c r="D15" s="4" t="s">
        <v>80</v>
      </c>
      <c r="E15" s="4" t="s">
        <v>81</v>
      </c>
      <c r="F15" s="4" t="s">
        <v>82</v>
      </c>
      <c r="G15" s="3" t="s">
        <v>14</v>
      </c>
      <c r="H15" s="4" t="s">
        <v>21</v>
      </c>
    </row>
    <row r="16" customFormat="false" ht="23.25" hidden="false" customHeight="true" outlineLevel="0" collapsed="false">
      <c r="A16" s="3" t="s">
        <v>83</v>
      </c>
      <c r="B16" s="4" t="s">
        <v>67</v>
      </c>
      <c r="C16" s="4" t="s">
        <v>84</v>
      </c>
      <c r="D16" s="4" t="s">
        <v>85</v>
      </c>
      <c r="E16" s="4" t="s">
        <v>86</v>
      </c>
      <c r="F16" s="4" t="s">
        <v>87</v>
      </c>
      <c r="G16" s="3" t="s">
        <v>14</v>
      </c>
      <c r="H16" s="4" t="s">
        <v>72</v>
      </c>
    </row>
    <row r="17" customFormat="false" ht="23.25" hidden="false" customHeight="true" outlineLevel="0" collapsed="false">
      <c r="A17" s="3" t="s">
        <v>88</v>
      </c>
      <c r="B17" s="4" t="s">
        <v>67</v>
      </c>
      <c r="C17" s="4" t="s">
        <v>89</v>
      </c>
      <c r="D17" s="4" t="s">
        <v>90</v>
      </c>
      <c r="E17" s="4" t="s">
        <v>91</v>
      </c>
      <c r="F17" s="4" t="s">
        <v>92</v>
      </c>
      <c r="G17" s="3" t="s">
        <v>14</v>
      </c>
      <c r="H17" s="4" t="s">
        <v>27</v>
      </c>
    </row>
    <row r="18" customFormat="false" ht="23.25" hidden="false" customHeight="true" outlineLevel="0" collapsed="false">
      <c r="A18" s="3" t="s">
        <v>93</v>
      </c>
      <c r="B18" s="4" t="s">
        <v>67</v>
      </c>
      <c r="C18" s="4" t="s">
        <v>94</v>
      </c>
      <c r="D18" s="4" t="s">
        <v>95</v>
      </c>
      <c r="E18" s="4" t="s">
        <v>96</v>
      </c>
      <c r="F18" s="4" t="s">
        <v>97</v>
      </c>
      <c r="G18" s="3" t="s">
        <v>14</v>
      </c>
      <c r="H18" s="4" t="s">
        <v>15</v>
      </c>
    </row>
    <row r="19" customFormat="false" ht="15" hidden="false" customHeight="true" outlineLevel="0" collapsed="false">
      <c r="A19" s="3" t="s">
        <v>98</v>
      </c>
      <c r="B19" s="4" t="s">
        <v>67</v>
      </c>
      <c r="C19" s="4" t="s">
        <v>99</v>
      </c>
      <c r="D19" s="4" t="s">
        <v>95</v>
      </c>
      <c r="E19" s="4" t="s">
        <v>100</v>
      </c>
      <c r="F19" s="4" t="s">
        <v>101</v>
      </c>
      <c r="G19" s="3" t="s">
        <v>14</v>
      </c>
      <c r="H19" s="4" t="s">
        <v>15</v>
      </c>
    </row>
    <row r="20" customFormat="false" ht="23.25" hidden="false" customHeight="true" outlineLevel="0" collapsed="false">
      <c r="A20" s="3" t="s">
        <v>102</v>
      </c>
      <c r="B20" s="4" t="s">
        <v>67</v>
      </c>
      <c r="C20" s="4" t="s">
        <v>103</v>
      </c>
      <c r="D20" s="4" t="s">
        <v>104</v>
      </c>
      <c r="E20" s="4" t="s">
        <v>105</v>
      </c>
      <c r="F20" s="4" t="s">
        <v>106</v>
      </c>
      <c r="G20" s="3" t="s">
        <v>14</v>
      </c>
      <c r="H20" s="4" t="s">
        <v>21</v>
      </c>
    </row>
    <row r="21" customFormat="false" ht="23.25" hidden="false" customHeight="true" outlineLevel="0" collapsed="false">
      <c r="A21" s="3" t="s">
        <v>107</v>
      </c>
      <c r="B21" s="4" t="s">
        <v>9</v>
      </c>
      <c r="C21" s="4" t="s">
        <v>108</v>
      </c>
      <c r="D21" s="4" t="s">
        <v>109</v>
      </c>
      <c r="E21" s="4" t="s">
        <v>110</v>
      </c>
      <c r="F21" s="4" t="s">
        <v>111</v>
      </c>
      <c r="G21" s="3" t="s">
        <v>14</v>
      </c>
      <c r="H21" s="4" t="s">
        <v>72</v>
      </c>
    </row>
    <row r="22" customFormat="false" ht="23.25" hidden="false" customHeight="true" outlineLevel="0" collapsed="false">
      <c r="A22" s="3" t="s">
        <v>112</v>
      </c>
      <c r="B22" s="4" t="s">
        <v>9</v>
      </c>
      <c r="C22" s="4" t="s">
        <v>113</v>
      </c>
      <c r="D22" s="4" t="s">
        <v>114</v>
      </c>
      <c r="E22" s="4" t="s">
        <v>31</v>
      </c>
      <c r="F22" s="4" t="s">
        <v>115</v>
      </c>
      <c r="G22" s="3" t="s">
        <v>14</v>
      </c>
      <c r="H22" s="4" t="s">
        <v>27</v>
      </c>
    </row>
    <row r="23" customFormat="false" ht="23.25" hidden="false" customHeight="true" outlineLevel="0" collapsed="false">
      <c r="A23" s="3" t="s">
        <v>116</v>
      </c>
      <c r="B23" s="4" t="s">
        <v>9</v>
      </c>
      <c r="C23" s="4" t="s">
        <v>117</v>
      </c>
      <c r="D23" s="4" t="s">
        <v>118</v>
      </c>
      <c r="E23" s="4" t="s">
        <v>31</v>
      </c>
      <c r="F23" s="4" t="s">
        <v>115</v>
      </c>
      <c r="G23" s="3" t="s">
        <v>14</v>
      </c>
      <c r="H23" s="4" t="s">
        <v>27</v>
      </c>
    </row>
    <row r="24" customFormat="false" ht="23.25" hidden="false" customHeight="true" outlineLevel="0" collapsed="false">
      <c r="A24" s="3" t="s">
        <v>119</v>
      </c>
      <c r="B24" s="4" t="s">
        <v>9</v>
      </c>
      <c r="C24" s="4" t="s">
        <v>120</v>
      </c>
      <c r="D24" s="4" t="s">
        <v>121</v>
      </c>
      <c r="E24" s="4" t="s">
        <v>31</v>
      </c>
      <c r="F24" s="4" t="s">
        <v>115</v>
      </c>
      <c r="G24" s="3" t="s">
        <v>14</v>
      </c>
      <c r="H24" s="4" t="s">
        <v>27</v>
      </c>
    </row>
    <row r="25" customFormat="false" ht="23.25" hidden="false" customHeight="true" outlineLevel="0" collapsed="false">
      <c r="A25" s="3" t="s">
        <v>122</v>
      </c>
      <c r="B25" s="4" t="s">
        <v>9</v>
      </c>
      <c r="C25" s="4" t="s">
        <v>123</v>
      </c>
      <c r="D25" s="4" t="s">
        <v>124</v>
      </c>
      <c r="E25" s="4" t="s">
        <v>44</v>
      </c>
      <c r="F25" s="4" t="s">
        <v>45</v>
      </c>
      <c r="G25" s="3" t="s">
        <v>14</v>
      </c>
      <c r="H25" s="4" t="s">
        <v>27</v>
      </c>
    </row>
    <row r="26" customFormat="false" ht="23.25" hidden="false" customHeight="true" outlineLevel="0" collapsed="false">
      <c r="A26" s="3" t="s">
        <v>125</v>
      </c>
      <c r="B26" s="4" t="s">
        <v>9</v>
      </c>
      <c r="C26" s="4" t="s">
        <v>126</v>
      </c>
      <c r="D26" s="4" t="s">
        <v>127</v>
      </c>
      <c r="E26" s="4" t="s">
        <v>49</v>
      </c>
      <c r="F26" s="4" t="s">
        <v>50</v>
      </c>
      <c r="G26" s="3" t="s">
        <v>14</v>
      </c>
      <c r="H26" s="4" t="s">
        <v>128</v>
      </c>
    </row>
    <row r="27" customFormat="false" ht="23.25" hidden="false" customHeight="true" outlineLevel="0" collapsed="false">
      <c r="A27" s="3" t="s">
        <v>129</v>
      </c>
      <c r="B27" s="4" t="s">
        <v>9</v>
      </c>
      <c r="C27" s="4" t="s">
        <v>130</v>
      </c>
      <c r="D27" s="4" t="s">
        <v>131</v>
      </c>
      <c r="E27" s="4" t="s">
        <v>49</v>
      </c>
      <c r="F27" s="4" t="s">
        <v>50</v>
      </c>
      <c r="G27" s="3" t="s">
        <v>14</v>
      </c>
      <c r="H27" s="4" t="s">
        <v>27</v>
      </c>
    </row>
    <row r="28" customFormat="false" ht="23.25" hidden="false" customHeight="true" outlineLevel="0" collapsed="false">
      <c r="A28" s="3" t="s">
        <v>132</v>
      </c>
      <c r="B28" s="4" t="s">
        <v>9</v>
      </c>
      <c r="C28" s="4" t="s">
        <v>133</v>
      </c>
      <c r="D28" s="4" t="s">
        <v>134</v>
      </c>
      <c r="E28" s="4" t="s">
        <v>135</v>
      </c>
      <c r="F28" s="4" t="s">
        <v>136</v>
      </c>
      <c r="G28" s="3" t="s">
        <v>14</v>
      </c>
      <c r="H28" s="4" t="s">
        <v>128</v>
      </c>
    </row>
    <row r="29" customFormat="false" ht="23.25" hidden="false" customHeight="true" outlineLevel="0" collapsed="false">
      <c r="A29" s="3" t="s">
        <v>137</v>
      </c>
      <c r="B29" s="4" t="s">
        <v>9</v>
      </c>
      <c r="C29" s="4" t="s">
        <v>138</v>
      </c>
      <c r="D29" s="4" t="s">
        <v>139</v>
      </c>
      <c r="E29" s="4" t="s">
        <v>44</v>
      </c>
      <c r="F29" s="4" t="s">
        <v>140</v>
      </c>
      <c r="G29" s="3" t="s">
        <v>141</v>
      </c>
      <c r="H29" s="4" t="s">
        <v>21</v>
      </c>
    </row>
    <row r="30" customFormat="false" ht="23.25" hidden="false" customHeight="true" outlineLevel="0" collapsed="false">
      <c r="A30" s="3" t="s">
        <v>142</v>
      </c>
      <c r="B30" s="4" t="s">
        <v>9</v>
      </c>
      <c r="C30" s="4" t="s">
        <v>143</v>
      </c>
      <c r="D30" s="4" t="s">
        <v>144</v>
      </c>
      <c r="E30" s="4" t="s">
        <v>145</v>
      </c>
      <c r="F30" s="4" t="s">
        <v>146</v>
      </c>
      <c r="G30" s="3" t="s">
        <v>141</v>
      </c>
      <c r="H30" s="4" t="s">
        <v>21</v>
      </c>
    </row>
    <row r="31" customFormat="false" ht="23.25" hidden="false" customHeight="true" outlineLevel="0" collapsed="false">
      <c r="A31" s="3" t="s">
        <v>147</v>
      </c>
      <c r="B31" s="4" t="s">
        <v>9</v>
      </c>
      <c r="C31" s="4" t="s">
        <v>148</v>
      </c>
      <c r="D31" s="4" t="s">
        <v>149</v>
      </c>
      <c r="E31" s="4" t="s">
        <v>150</v>
      </c>
      <c r="F31" s="4" t="s">
        <v>151</v>
      </c>
      <c r="G31" s="3" t="s">
        <v>141</v>
      </c>
      <c r="H31" s="4" t="s">
        <v>21</v>
      </c>
    </row>
    <row r="32" customFormat="false" ht="23.25" hidden="false" customHeight="true" outlineLevel="0" collapsed="false">
      <c r="A32" s="3" t="s">
        <v>152</v>
      </c>
      <c r="B32" s="4" t="s">
        <v>9</v>
      </c>
      <c r="C32" s="4" t="s">
        <v>153</v>
      </c>
      <c r="D32" s="4" t="s">
        <v>154</v>
      </c>
      <c r="E32" s="4" t="s">
        <v>135</v>
      </c>
      <c r="F32" s="4" t="s">
        <v>155</v>
      </c>
      <c r="G32" s="3" t="s">
        <v>141</v>
      </c>
      <c r="H32" s="4" t="s">
        <v>128</v>
      </c>
    </row>
    <row r="33" customFormat="false" ht="23.25" hidden="false" customHeight="true" outlineLevel="0" collapsed="false">
      <c r="A33" s="3" t="s">
        <v>156</v>
      </c>
      <c r="B33" s="4" t="s">
        <v>9</v>
      </c>
      <c r="C33" s="4" t="s">
        <v>157</v>
      </c>
      <c r="D33" s="4" t="s">
        <v>158</v>
      </c>
      <c r="E33" s="4" t="s">
        <v>49</v>
      </c>
      <c r="F33" s="4" t="s">
        <v>159</v>
      </c>
      <c r="G33" s="3" t="s">
        <v>141</v>
      </c>
      <c r="H33" s="4" t="s">
        <v>21</v>
      </c>
    </row>
    <row r="34" customFormat="false" ht="23.25" hidden="false" customHeight="true" outlineLevel="0" collapsed="false">
      <c r="A34" s="3" t="s">
        <v>160</v>
      </c>
      <c r="B34" s="4" t="s">
        <v>9</v>
      </c>
      <c r="C34" s="4" t="s">
        <v>161</v>
      </c>
      <c r="D34" s="4" t="s">
        <v>162</v>
      </c>
      <c r="E34" s="4" t="s">
        <v>163</v>
      </c>
      <c r="F34" s="4" t="s">
        <v>164</v>
      </c>
      <c r="G34" s="3" t="s">
        <v>141</v>
      </c>
      <c r="H34" s="4" t="s">
        <v>72</v>
      </c>
    </row>
    <row r="35" customFormat="false" ht="23.25" hidden="false" customHeight="true" outlineLevel="0" collapsed="false">
      <c r="A35" s="3" t="s">
        <v>165</v>
      </c>
      <c r="B35" s="4" t="s">
        <v>9</v>
      </c>
      <c r="C35" s="4" t="s">
        <v>166</v>
      </c>
      <c r="D35" s="4" t="s">
        <v>167</v>
      </c>
      <c r="E35" s="4" t="s">
        <v>168</v>
      </c>
      <c r="F35" s="4" t="s">
        <v>169</v>
      </c>
      <c r="G35" s="3" t="s">
        <v>141</v>
      </c>
      <c r="H35" s="4" t="s">
        <v>72</v>
      </c>
    </row>
    <row r="36" customFormat="false" ht="23.25" hidden="false" customHeight="true" outlineLevel="0" collapsed="false">
      <c r="A36" s="3" t="s">
        <v>170</v>
      </c>
      <c r="B36" s="4" t="s">
        <v>9</v>
      </c>
      <c r="C36" s="4" t="s">
        <v>171</v>
      </c>
      <c r="D36" s="4" t="s">
        <v>172</v>
      </c>
      <c r="E36" s="4" t="s">
        <v>173</v>
      </c>
      <c r="F36" s="4" t="s">
        <v>174</v>
      </c>
      <c r="G36" s="3" t="s">
        <v>14</v>
      </c>
      <c r="H36" s="4" t="s">
        <v>15</v>
      </c>
    </row>
    <row r="37" customFormat="false" ht="23.25" hidden="false" customHeight="true" outlineLevel="0" collapsed="false">
      <c r="A37" s="3" t="s">
        <v>175</v>
      </c>
      <c r="B37" s="4" t="s">
        <v>9</v>
      </c>
      <c r="C37" s="4" t="s">
        <v>176</v>
      </c>
      <c r="D37" s="4" t="s">
        <v>80</v>
      </c>
      <c r="E37" s="4" t="s">
        <v>81</v>
      </c>
      <c r="F37" s="4" t="s">
        <v>82</v>
      </c>
      <c r="G37" s="3" t="s">
        <v>14</v>
      </c>
      <c r="H37" s="4" t="s">
        <v>21</v>
      </c>
    </row>
    <row r="38" customFormat="false" ht="23.25" hidden="false" customHeight="true" outlineLevel="0" collapsed="false">
      <c r="A38" s="3" t="s">
        <v>177</v>
      </c>
      <c r="B38" s="4" t="s">
        <v>67</v>
      </c>
      <c r="C38" s="4" t="s">
        <v>178</v>
      </c>
      <c r="D38" s="4" t="s">
        <v>179</v>
      </c>
      <c r="E38" s="4" t="s">
        <v>180</v>
      </c>
      <c r="F38" s="4" t="s">
        <v>181</v>
      </c>
      <c r="G38" s="3" t="s">
        <v>14</v>
      </c>
      <c r="H38" s="4" t="s">
        <v>27</v>
      </c>
    </row>
    <row r="39" customFormat="false" ht="23.25" hidden="false" customHeight="true" outlineLevel="0" collapsed="false">
      <c r="A39" s="3" t="s">
        <v>182</v>
      </c>
      <c r="B39" s="4" t="s">
        <v>67</v>
      </c>
      <c r="C39" s="4" t="s">
        <v>183</v>
      </c>
      <c r="D39" s="4" t="s">
        <v>184</v>
      </c>
      <c r="E39" s="4" t="s">
        <v>91</v>
      </c>
      <c r="F39" s="4" t="s">
        <v>92</v>
      </c>
      <c r="G39" s="3" t="s">
        <v>14</v>
      </c>
      <c r="H39" s="4" t="s">
        <v>27</v>
      </c>
    </row>
    <row r="40" customFormat="false" ht="23.25" hidden="false" customHeight="true" outlineLevel="0" collapsed="false">
      <c r="A40" s="3" t="s">
        <v>185</v>
      </c>
      <c r="B40" s="4" t="s">
        <v>67</v>
      </c>
      <c r="C40" s="4" t="s">
        <v>186</v>
      </c>
      <c r="D40" s="4" t="s">
        <v>187</v>
      </c>
      <c r="E40" s="4" t="s">
        <v>105</v>
      </c>
      <c r="F40" s="4" t="s">
        <v>106</v>
      </c>
      <c r="G40" s="3" t="s">
        <v>14</v>
      </c>
      <c r="H40" s="4" t="s">
        <v>27</v>
      </c>
    </row>
    <row r="41" customFormat="false" ht="23.25" hidden="false" customHeight="true" outlineLevel="0" collapsed="false">
      <c r="A41" s="3" t="s">
        <v>188</v>
      </c>
      <c r="B41" s="4" t="s">
        <v>67</v>
      </c>
      <c r="C41" s="4" t="s">
        <v>189</v>
      </c>
      <c r="D41" s="4" t="s">
        <v>190</v>
      </c>
      <c r="E41" s="4" t="s">
        <v>191</v>
      </c>
      <c r="F41" s="4" t="s">
        <v>192</v>
      </c>
      <c r="G41" s="3" t="s">
        <v>14</v>
      </c>
      <c r="H41" s="4" t="s">
        <v>21</v>
      </c>
    </row>
    <row r="42" customFormat="false" ht="23.25" hidden="false" customHeight="true" outlineLevel="0" collapsed="false">
      <c r="A42" s="3" t="s">
        <v>193</v>
      </c>
      <c r="B42" s="4" t="s">
        <v>67</v>
      </c>
      <c r="C42" s="4" t="s">
        <v>194</v>
      </c>
      <c r="D42" s="4" t="s">
        <v>195</v>
      </c>
      <c r="E42" s="4" t="s">
        <v>196</v>
      </c>
      <c r="F42" s="4" t="s">
        <v>197</v>
      </c>
      <c r="G42" s="3" t="s">
        <v>14</v>
      </c>
      <c r="H42" s="4" t="s">
        <v>15</v>
      </c>
    </row>
    <row r="43" customFormat="false" ht="23.25" hidden="false" customHeight="true" outlineLevel="0" collapsed="false">
      <c r="A43" s="3" t="s">
        <v>198</v>
      </c>
      <c r="B43" s="4" t="s">
        <v>67</v>
      </c>
      <c r="C43" s="4" t="s">
        <v>199</v>
      </c>
      <c r="D43" s="4" t="s">
        <v>200</v>
      </c>
      <c r="E43" s="4" t="s">
        <v>201</v>
      </c>
      <c r="F43" s="4" t="s">
        <v>202</v>
      </c>
      <c r="G43" s="3" t="s">
        <v>141</v>
      </c>
      <c r="H43" s="4" t="s">
        <v>15</v>
      </c>
    </row>
  </sheetData>
  <conditionalFormatting sqref="G2:G43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70"/>
  </cols>
  <sheetData>
    <row r="1" customFormat="false" ht="17.25" hidden="false" customHeight="true" outlineLevel="0" collapsed="false">
      <c r="A1" s="5" t="s">
        <v>203</v>
      </c>
    </row>
    <row r="3" customFormat="false" ht="15" hidden="false" customHeight="true" outlineLevel="0" collapsed="false">
      <c r="A3" s="6" t="s">
        <v>204</v>
      </c>
      <c r="B3" s="7" t="n">
        <f aca="false">COUNTA('Test Cases'!A2:A43)</f>
        <v>42</v>
      </c>
    </row>
    <row r="4" customFormat="false" ht="15" hidden="false" customHeight="true" outlineLevel="0" collapsed="false">
      <c r="A4" s="6" t="s">
        <v>205</v>
      </c>
      <c r="B4" s="7" t="n">
        <f aca="false">COUNTIF('Test Cases'!G2:G43,"Pass")</f>
        <v>34</v>
      </c>
    </row>
    <row r="5" customFormat="false" ht="15" hidden="false" customHeight="true" outlineLevel="0" collapsed="false">
      <c r="A5" s="6" t="s">
        <v>206</v>
      </c>
      <c r="B5" s="7" t="n">
        <f aca="false">COUNTIF('Test Cases'!G2:G43,"Fail")</f>
        <v>8</v>
      </c>
    </row>
    <row r="6" customFormat="false" ht="15" hidden="false" customHeight="true" outlineLevel="0" collapsed="false">
      <c r="A6" s="6" t="s">
        <v>207</v>
      </c>
      <c r="B6" s="8" t="n">
        <f aca="false">IF(B3=0,0,B4/B3)</f>
        <v>0.80952380952381</v>
      </c>
    </row>
    <row r="7" customFormat="false" ht="15" hidden="false" customHeight="true" outlineLevel="0" collapsed="false">
      <c r="A7" s="6"/>
      <c r="B7" s="7"/>
    </row>
    <row r="8" customFormat="false" ht="15" hidden="false" customHeight="true" outlineLevel="0" collapsed="false">
      <c r="A8" s="6" t="s">
        <v>208</v>
      </c>
      <c r="B8" s="7" t="n">
        <f aca="false">COUNTIF('Test Cases'!B2:B43,"Donor Management")</f>
        <v>28</v>
      </c>
    </row>
    <row r="9" customFormat="false" ht="15" hidden="false" customHeight="true" outlineLevel="0" collapsed="false">
      <c r="A9" s="6" t="s">
        <v>209</v>
      </c>
      <c r="B9" s="7" t="n">
        <f aca="false">COUNTIF('Test Cases'!B2:B43,"Blood Inventory")</f>
        <v>14</v>
      </c>
    </row>
    <row r="11" customFormat="false" ht="69.75" hidden="false" customHeight="true" outlineLevel="0" collapsed="false">
      <c r="A11" s="9" t="s">
        <v>210</v>
      </c>
      <c r="B11" s="10" t="s">
        <v>211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46"/>
    <col collapsed="false" customWidth="true" hidden="false" outlineLevel="0" max="5" min="5" style="0" width="28"/>
    <col collapsed="false" customWidth="true" hidden="false" outlineLevel="0" max="6" min="6" style="0" width="34"/>
    <col collapsed="false" customWidth="true" hidden="false" outlineLevel="0" max="9" min="7" style="0" width="10"/>
    <col collapsed="false" customWidth="true" hidden="false" outlineLevel="0" max="10" min="10" style="0" width="38"/>
  </cols>
  <sheetData>
    <row r="1" customFormat="false" ht="24" hidden="false" customHeight="true" outlineLevel="0" collapsed="false">
      <c r="A1" s="2" t="s">
        <v>212</v>
      </c>
      <c r="B1" s="2" t="s">
        <v>213</v>
      </c>
      <c r="C1" s="2" t="s">
        <v>214</v>
      </c>
      <c r="D1" s="2" t="s">
        <v>215</v>
      </c>
      <c r="E1" s="2" t="s">
        <v>216</v>
      </c>
      <c r="F1" s="2" t="s">
        <v>217</v>
      </c>
      <c r="G1" s="2" t="s">
        <v>218</v>
      </c>
      <c r="H1" s="2" t="s">
        <v>219</v>
      </c>
      <c r="I1" s="2" t="s">
        <v>6</v>
      </c>
      <c r="J1" s="2" t="s">
        <v>220</v>
      </c>
    </row>
    <row r="2" customFormat="false" ht="60" hidden="false" customHeight="true" outlineLevel="0" collapsed="false">
      <c r="A2" s="3" t="s">
        <v>221</v>
      </c>
      <c r="B2" s="3" t="s">
        <v>222</v>
      </c>
      <c r="C2" s="3" t="s">
        <v>223</v>
      </c>
      <c r="D2" s="3" t="s">
        <v>224</v>
      </c>
      <c r="E2" s="3" t="s">
        <v>225</v>
      </c>
      <c r="F2" s="3" t="s">
        <v>226</v>
      </c>
      <c r="G2" s="3" t="s">
        <v>227</v>
      </c>
      <c r="H2" s="3" t="s">
        <v>228</v>
      </c>
      <c r="I2" s="3" t="s">
        <v>229</v>
      </c>
      <c r="J2" s="3" t="s">
        <v>230</v>
      </c>
    </row>
    <row r="3" customFormat="false" ht="60" hidden="false" customHeight="true" outlineLevel="0" collapsed="false">
      <c r="A3" s="3" t="s">
        <v>231</v>
      </c>
      <c r="B3" s="3" t="s">
        <v>232</v>
      </c>
      <c r="C3" s="3" t="s">
        <v>147</v>
      </c>
      <c r="D3" s="3" t="s">
        <v>233</v>
      </c>
      <c r="E3" s="3" t="s">
        <v>234</v>
      </c>
      <c r="F3" s="3" t="s">
        <v>235</v>
      </c>
      <c r="G3" s="3" t="s">
        <v>236</v>
      </c>
      <c r="H3" s="3" t="s">
        <v>237</v>
      </c>
      <c r="I3" s="3" t="s">
        <v>229</v>
      </c>
      <c r="J3" s="3" t="s">
        <v>238</v>
      </c>
    </row>
    <row r="4" customFormat="false" ht="60" hidden="false" customHeight="true" outlineLevel="0" collapsed="false">
      <c r="A4" s="3" t="s">
        <v>239</v>
      </c>
      <c r="B4" s="3" t="s">
        <v>240</v>
      </c>
      <c r="C4" s="3" t="s">
        <v>152</v>
      </c>
      <c r="D4" s="3" t="s">
        <v>241</v>
      </c>
      <c r="E4" s="3" t="s">
        <v>242</v>
      </c>
      <c r="F4" s="3" t="s">
        <v>243</v>
      </c>
      <c r="G4" s="3" t="s">
        <v>236</v>
      </c>
      <c r="H4" s="3" t="s">
        <v>244</v>
      </c>
      <c r="I4" s="3" t="s">
        <v>229</v>
      </c>
      <c r="J4" s="3" t="s">
        <v>238</v>
      </c>
    </row>
    <row r="5" customFormat="false" ht="60" hidden="false" customHeight="true" outlineLevel="0" collapsed="false">
      <c r="A5" s="3" t="s">
        <v>245</v>
      </c>
      <c r="B5" s="3" t="s">
        <v>246</v>
      </c>
      <c r="C5" s="3" t="s">
        <v>156</v>
      </c>
      <c r="D5" s="3" t="s">
        <v>247</v>
      </c>
      <c r="E5" s="3" t="s">
        <v>248</v>
      </c>
      <c r="F5" s="3" t="s">
        <v>249</v>
      </c>
      <c r="G5" s="3" t="s">
        <v>236</v>
      </c>
      <c r="H5" s="3" t="s">
        <v>244</v>
      </c>
      <c r="I5" s="3" t="s">
        <v>229</v>
      </c>
      <c r="J5" s="3" t="s">
        <v>250</v>
      </c>
    </row>
    <row r="6" customFormat="false" ht="60" hidden="false" customHeight="true" outlineLevel="0" collapsed="false">
      <c r="A6" s="3" t="s">
        <v>251</v>
      </c>
      <c r="B6" s="3" t="s">
        <v>252</v>
      </c>
      <c r="C6" s="3" t="s">
        <v>160</v>
      </c>
      <c r="D6" s="3" t="s">
        <v>253</v>
      </c>
      <c r="E6" s="3" t="s">
        <v>254</v>
      </c>
      <c r="F6" s="3" t="s">
        <v>255</v>
      </c>
      <c r="G6" s="3" t="s">
        <v>227</v>
      </c>
      <c r="H6" s="3" t="s">
        <v>237</v>
      </c>
      <c r="I6" s="3" t="s">
        <v>229</v>
      </c>
      <c r="J6" s="3" t="s">
        <v>256</v>
      </c>
    </row>
    <row r="7" customFormat="false" ht="60" hidden="false" customHeight="true" outlineLevel="0" collapsed="false">
      <c r="A7" s="3" t="s">
        <v>257</v>
      </c>
      <c r="B7" s="3" t="s">
        <v>258</v>
      </c>
      <c r="C7" s="3" t="s">
        <v>165</v>
      </c>
      <c r="D7" s="3" t="s">
        <v>259</v>
      </c>
      <c r="E7" s="3" t="s">
        <v>260</v>
      </c>
      <c r="F7" s="3" t="s">
        <v>261</v>
      </c>
      <c r="G7" s="3" t="s">
        <v>227</v>
      </c>
      <c r="H7" s="3" t="s">
        <v>237</v>
      </c>
      <c r="I7" s="3" t="s">
        <v>229</v>
      </c>
      <c r="J7" s="3" t="s">
        <v>262</v>
      </c>
    </row>
    <row r="8" customFormat="false" ht="60" hidden="false" customHeight="true" outlineLevel="0" collapsed="false">
      <c r="A8" s="3" t="s">
        <v>263</v>
      </c>
      <c r="B8" s="3" t="s">
        <v>264</v>
      </c>
      <c r="C8" s="3" t="s">
        <v>198</v>
      </c>
      <c r="D8" s="3" t="s">
        <v>265</v>
      </c>
      <c r="E8" s="3" t="s">
        <v>266</v>
      </c>
      <c r="F8" s="3" t="s">
        <v>267</v>
      </c>
      <c r="G8" s="3" t="s">
        <v>236</v>
      </c>
      <c r="H8" s="3" t="s">
        <v>244</v>
      </c>
      <c r="I8" s="3" t="s">
        <v>229</v>
      </c>
      <c r="J8" s="3" t="s">
        <v>268</v>
      </c>
    </row>
    <row r="10" customFormat="false" ht="39.75" hidden="false" customHeight="true" outlineLevel="0" collapsed="false">
      <c r="A10" s="11" t="s">
        <v>210</v>
      </c>
      <c r="B10" s="12" t="s">
        <v>269</v>
      </c>
      <c r="C10" s="12"/>
      <c r="D10" s="12"/>
      <c r="E10" s="12"/>
      <c r="F10" s="12"/>
    </row>
  </sheetData>
  <mergeCells count="1">
    <mergeCell ref="B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2026-10-28T05:27:33Z</dcterms:created>
  <dc:creator>openpyxl</dc:creator>
  <dc:description/>
  <dc:language>en-US</dc:language>
  <cp:lastModifiedBy/>
  <dcterms:modified xsi:type="dcterms:W3CDTF">2026-10-28T07:01:52Z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